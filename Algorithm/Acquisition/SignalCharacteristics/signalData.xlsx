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field-my.sharepoint.com/personal/a_lavinorejas_261_cranfield_ac_uk/Documents/Documents/Group Design Project/Cranfield-LEO-PNT/Algorithm/Acquisition/SignalCharacteristics/"/>
    </mc:Choice>
  </mc:AlternateContent>
  <xr:revisionPtr revIDLastSave="75" documentId="8_{31AC4230-72C4-4582-8E31-DEF67DFFC137}" xr6:coauthVersionLast="47" xr6:coauthVersionMax="47" xr10:uidLastSave="{F63257B5-89F9-42F7-BA11-37765930E6EA}"/>
  <bookViews>
    <workbookView xWindow="1833" yWindow="1833" windowWidth="19200" windowHeight="9980" xr2:uid="{C1A3185A-F3C0-4606-B2D6-D4D09FADD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D11" i="1"/>
  <c r="C11" i="1"/>
  <c r="D10" i="1"/>
  <c r="C10" i="1"/>
  <c r="C9" i="1"/>
  <c r="D9" i="1"/>
  <c r="D8" i="1"/>
  <c r="C8" i="1"/>
  <c r="D7" i="1"/>
  <c r="C7" i="1"/>
  <c r="D6" i="1"/>
  <c r="C6" i="1"/>
  <c r="C5" i="1"/>
  <c r="D5" i="1"/>
  <c r="D4" i="1"/>
  <c r="D3" i="1"/>
  <c r="D2" i="1"/>
  <c r="C4" i="1"/>
  <c r="C2" i="1"/>
  <c r="C3" i="1"/>
</calcChain>
</file>

<file path=xl/sharedStrings.xml><?xml version="1.0" encoding="utf-8"?>
<sst xmlns="http://schemas.openxmlformats.org/spreadsheetml/2006/main" count="19" uniqueCount="19">
  <si>
    <t>ID</t>
  </si>
  <si>
    <t>Filename</t>
  </si>
  <si>
    <t>SamplingFreq</t>
  </si>
  <si>
    <t>OW-sample500-250-5s-ram-29.bin</t>
  </si>
  <si>
    <t>rx_stream-320.00-1975.00-2-nvme2.56-10db.bin</t>
  </si>
  <si>
    <t>Comments</t>
  </si>
  <si>
    <t>Oscillator signal, should not have any Doppler</t>
  </si>
  <si>
    <t>rx_stream-360.00-1975.00-1-10dB-11032026T110930.bin</t>
  </si>
  <si>
    <t>SymbolFreq</t>
  </si>
  <si>
    <t>LNB_BladeRF_5s.bin</t>
  </si>
  <si>
    <t>OW_BladeRF_6GB_real.bin</t>
  </si>
  <si>
    <t>SG_bladerf_50MHz_-50dBm 1.bin</t>
  </si>
  <si>
    <t xml:space="preserve">BladeRF received signal, limitation on Sampling frequency </t>
  </si>
  <si>
    <t>SG_bladerf_50MHz_-70dBm.bin</t>
  </si>
  <si>
    <t>Signal captured, expect Doppler, 2025/10/14 T 14:04:28:052939247</t>
  </si>
  <si>
    <t>SG_bladerf_50db_50MHz.bin</t>
  </si>
  <si>
    <t>SG_bladerf_50db_30MHz.bin</t>
  </si>
  <si>
    <t>UT_BladeRF_short_noLNA_20dbatt.bin</t>
  </si>
  <si>
    <t>UT_BladeRF_short_LNA_20db_att.bin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</si>
</sst>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8468</xdr:colOff>
      <xdr:row>2</xdr:row>
      <xdr:rowOff>15581</xdr:rowOff>
    </xdr:from>
    <xdr:to>
      <xdr:col>13</xdr:col>
      <xdr:colOff>321736</xdr:colOff>
      <xdr:row>3</xdr:row>
      <xdr:rowOff>132883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CEE89-2E59-AEDA-0F05-5ACB4961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1" y="379648"/>
          <a:ext cx="4174068" cy="299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45A8-D2B3-4AA5-B1E2-4210EB6AE0BD}">
  <dimension ref="A1:E12"/>
  <sheetViews>
    <sheetView tabSelected="1" workbookViewId="0">
      <selection activeCell="C13" sqref="C13"/>
    </sheetView>
  </sheetViews>
  <sheetFormatPr defaultRowHeight="14.35" x14ac:dyDescent="0.5"/>
  <cols>
    <col min="1" max="1" width="6" customWidth="1"/>
    <col min="2" max="2" width="46.76171875" bestFit="1" customWidth="1"/>
    <col min="3" max="3" width="11.87890625" bestFit="1" customWidth="1"/>
    <col min="4" max="4" width="10.46875" bestFit="1" customWidth="1"/>
    <col min="5" max="5" width="36.5859375" bestFit="1" customWidth="1"/>
  </cols>
  <sheetData>
    <row r="1" spans="1:5" s="1" customFormat="1" x14ac:dyDescent="0.5">
      <c r="A1" s="1" t="s">
        <v>0</v>
      </c>
      <c r="B1" s="1" t="s">
        <v>1</v>
      </c>
      <c r="C1" s="1" t="s">
        <v>2</v>
      </c>
      <c r="D1" s="1" t="s">
        <v>8</v>
      </c>
      <c r="E1" s="1" t="s">
        <v>5</v>
      </c>
    </row>
    <row r="2" spans="1:5" x14ac:dyDescent="0.5">
      <c r="A2">
        <v>0</v>
      </c>
      <c r="B2" t="s">
        <v>3</v>
      </c>
      <c r="C2">
        <f>500000000</f>
        <v>500000000</v>
      </c>
      <c r="D2">
        <f>230400000</f>
        <v>230400000</v>
      </c>
      <c r="E2" t="s">
        <v>6</v>
      </c>
    </row>
    <row r="3" spans="1:5" x14ac:dyDescent="0.5">
      <c r="A3">
        <v>1</v>
      </c>
      <c r="B3" t="s">
        <v>4</v>
      </c>
      <c r="C3">
        <f>320000000</f>
        <v>320000000</v>
      </c>
      <c r="D3">
        <f t="shared" ref="D3:D12" si="0">230400000</f>
        <v>230400000</v>
      </c>
      <c r="E3" t="s">
        <v>14</v>
      </c>
    </row>
    <row r="4" spans="1:5" x14ac:dyDescent="0.5">
      <c r="A4">
        <v>2</v>
      </c>
      <c r="B4" t="s">
        <v>7</v>
      </c>
      <c r="C4">
        <f>360000000</f>
        <v>360000000</v>
      </c>
      <c r="D4">
        <f t="shared" si="0"/>
        <v>230400000</v>
      </c>
    </row>
    <row r="5" spans="1:5" x14ac:dyDescent="0.5">
      <c r="A5">
        <v>3</v>
      </c>
      <c r="B5" t="s">
        <v>10</v>
      </c>
      <c r="C5">
        <f>60000000</f>
        <v>60000000</v>
      </c>
      <c r="D5">
        <f t="shared" si="0"/>
        <v>230400000</v>
      </c>
      <c r="E5" t="s">
        <v>12</v>
      </c>
    </row>
    <row r="6" spans="1:5" x14ac:dyDescent="0.5">
      <c r="A6">
        <v>4</v>
      </c>
      <c r="B6" t="s">
        <v>9</v>
      </c>
      <c r="C6">
        <f>60000000</f>
        <v>60000000</v>
      </c>
      <c r="D6">
        <f t="shared" si="0"/>
        <v>230400000</v>
      </c>
    </row>
    <row r="7" spans="1:5" x14ac:dyDescent="0.5">
      <c r="A7">
        <v>5</v>
      </c>
      <c r="B7" t="s">
        <v>11</v>
      </c>
      <c r="C7">
        <f>60000000</f>
        <v>60000000</v>
      </c>
      <c r="D7">
        <f t="shared" si="0"/>
        <v>230400000</v>
      </c>
    </row>
    <row r="8" spans="1:5" x14ac:dyDescent="0.5">
      <c r="A8">
        <v>6</v>
      </c>
      <c r="B8" t="s">
        <v>13</v>
      </c>
      <c r="C8">
        <f>60000000</f>
        <v>60000000</v>
      </c>
      <c r="D8">
        <f t="shared" si="0"/>
        <v>230400000</v>
      </c>
    </row>
    <row r="9" spans="1:5" x14ac:dyDescent="0.5">
      <c r="A9">
        <v>7</v>
      </c>
      <c r="B9" t="s">
        <v>15</v>
      </c>
      <c r="C9">
        <f>61440000</f>
        <v>61440000</v>
      </c>
      <c r="D9">
        <f t="shared" si="0"/>
        <v>230400000</v>
      </c>
    </row>
    <row r="10" spans="1:5" x14ac:dyDescent="0.5">
      <c r="A10">
        <v>8</v>
      </c>
      <c r="B10" t="s">
        <v>16</v>
      </c>
      <c r="C10">
        <f>61440000</f>
        <v>61440000</v>
      </c>
      <c r="D10">
        <f t="shared" si="0"/>
        <v>230400000</v>
      </c>
    </row>
    <row r="11" spans="1:5" x14ac:dyDescent="0.5">
      <c r="A11">
        <v>9</v>
      </c>
      <c r="B11" t="s">
        <v>17</v>
      </c>
      <c r="C11">
        <f>61440000</f>
        <v>61440000</v>
      </c>
      <c r="D11">
        <f t="shared" si="0"/>
        <v>230400000</v>
      </c>
    </row>
    <row r="12" spans="1:5" x14ac:dyDescent="0.5">
      <c r="A12">
        <v>10</v>
      </c>
      <c r="B12" t="s">
        <v>18</v>
      </c>
      <c r="C12">
        <f>61440000</f>
        <v>61440000</v>
      </c>
      <c r="D12">
        <f t="shared" si="0"/>
        <v>230400000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[Student] Alfredo Lavin Orejas</dc:creator>
  <cp:lastModifiedBy>[Student] Alfredo Lavin Orejas</cp:lastModifiedBy>
  <dcterms:created xsi:type="dcterms:W3CDTF">2026-03-07T12:43:01Z</dcterms:created>
  <dcterms:modified xsi:type="dcterms:W3CDTF">2026-03-23T13:14:12Z</dcterms:modified>
</cp:coreProperties>
</file>